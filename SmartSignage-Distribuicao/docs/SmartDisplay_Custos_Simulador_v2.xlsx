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Resultados" sheetId="2" r:id="rId2"/>
    <sheet name="Incremental" sheetId="3" r:id="rId3"/>
    <sheet name="ROI" sheetId="4" r:id="rId4"/>
    <sheet name="Build_vs_Buy" sheetId="5" r:id="rId5"/>
  </sheets>
  <calcPr calcId="124519" fullCalcOnLoad="1"/>
</workbook>
</file>

<file path=xl/sharedStrings.xml><?xml version="1.0" encoding="utf-8"?>
<sst xmlns="http://schemas.openxmlformats.org/spreadsheetml/2006/main" count="72" uniqueCount="69">
  <si>
    <t>Parâmetro</t>
  </si>
  <si>
    <t>Valor</t>
  </si>
  <si>
    <t>Num displays</t>
  </si>
  <si>
    <t>Usd to brl</t>
  </si>
  <si>
    <t>Revenue per display month usd</t>
  </si>
  <si>
    <t>Gross margin pct</t>
  </si>
  <si>
    <t>Initial hardware cost usd</t>
  </si>
  <si>
    <t>Api calls per month</t>
  </si>
  <si>
    <t>Api cost usd per 10k calls</t>
  </si>
  <si>
    <t>Storage gb per display</t>
  </si>
  <si>
    <t>Storage cost usd per gb</t>
  </si>
  <si>
    <t>Network gb per display</t>
  </si>
  <si>
    <t>Network cost usd per gb</t>
  </si>
  <si>
    <t>Monitoring cost per display usd</t>
  </si>
  <si>
    <t>Maintenance cost per display usd</t>
  </si>
  <si>
    <t>Componente / Métrica</t>
  </si>
  <si>
    <t>Edge Local (USD)</t>
  </si>
  <si>
    <t>Cloud Total (USD)</t>
  </si>
  <si>
    <t>Híbrido (USD)</t>
  </si>
  <si>
    <t>Hardware amortizado (por display)</t>
  </si>
  <si>
    <t>API IA (por display, mensal)</t>
  </si>
  <si>
    <t>Armazenamento (por display, mensal)</t>
  </si>
  <si>
    <t>Rede / CDN (por display, mensal)</t>
  </si>
  <si>
    <t>Monitoramento (por display, mensal)</t>
  </si>
  <si>
    <t>Manutenção (por display, mensal)</t>
  </si>
  <si>
    <t>Custo por display (mensal)</t>
  </si>
  <si>
    <t>Total (todas as displays)</t>
  </si>
  <si>
    <t>Conversão (USD → BRL)</t>
  </si>
  <si>
    <t>Taxa USD→BRL</t>
  </si>
  <si>
    <t>Total (BRL) - Híbrido</t>
  </si>
  <si>
    <t>Displays</t>
  </si>
  <si>
    <t>Edge Local (USD/mês)</t>
  </si>
  <si>
    <t>Cloud (USD/mês)</t>
  </si>
  <si>
    <t>Híbrido (USD/mês)</t>
  </si>
  <si>
    <t>Month</t>
  </si>
  <si>
    <t>Monthly Revenue (USD)</t>
  </si>
  <si>
    <t>Monthly Margin (USD)</t>
  </si>
  <si>
    <t>Monthly Cost Híbrido (USD)</t>
  </si>
  <si>
    <t>Monthly Net (USD)</t>
  </si>
  <si>
    <t>Cumulative Cashflow (USD)</t>
  </si>
  <si>
    <t>Categoria</t>
  </si>
  <si>
    <t>Open Source (Edge)</t>
  </si>
  <si>
    <t>Cloud Vendor</t>
  </si>
  <si>
    <t>Comentário</t>
  </si>
  <si>
    <t>Custo inicial</t>
  </si>
  <si>
    <t>Médio/Alto (hardware)</t>
  </si>
  <si>
    <t>Baixo</t>
  </si>
  <si>
    <t>SBC e setup local</t>
  </si>
  <si>
    <t>Custo recorrente</t>
  </si>
  <si>
    <t>Médio/Alto</t>
  </si>
  <si>
    <t>Cloud IA billing</t>
  </si>
  <si>
    <t>Escalabilidade</t>
  </si>
  <si>
    <t>Média</t>
  </si>
  <si>
    <t>Alta</t>
  </si>
  <si>
    <t>Auto-scaling cloud</t>
  </si>
  <si>
    <t>Controle de dados</t>
  </si>
  <si>
    <t>Total</t>
  </si>
  <si>
    <t>Limitado</t>
  </si>
  <si>
    <t>LGPD e privacidade</t>
  </si>
  <si>
    <t>Flexibilidade</t>
  </si>
  <si>
    <t>Vendor lock-in</t>
  </si>
  <si>
    <t>Tempo de implantação</t>
  </si>
  <si>
    <t>Médio</t>
  </si>
  <si>
    <t>Curto</t>
  </si>
  <si>
    <t>Serviços prontos</t>
  </si>
  <si>
    <t>Manutenção</t>
  </si>
  <si>
    <t>Interna</t>
  </si>
  <si>
    <t>Gerenciada</t>
  </si>
  <si>
    <t>Trade-off técnico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</si>
</sst>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$#,##0.00"/>
    <numFmt numFmtId="166" formatCode="R$ 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3" borderId="0" xfId="0" applyFill="1"/>
    <xf numFmtId="164" fontId="0" fillId="0" borderId="0" xfId="0" applyNumberFormat="1"/>
    <xf numFmtId="165" fontId="0" fillId="0" borderId="0" xfId="0" applyNumberFormat="1"/>
    <xf numFmtId="0" fontId="0" fillId="0" borderId="0" xfId="0"/>
    <xf numFmtId="16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Crescimento de Custo com Número de Displays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Edge Local</c:v>
          </c:tx>
          <c:marker>
            <c:symbol val="none"/>
          </c:marker>
          <c:cat>
            <c:numRef>
              <c:f>Incremental!$A$2:$A$6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</c:numCache>
            </c:numRef>
          </c:cat>
          <c:val>
            <c:numRef>
              <c:f>Incremental!$B$2:$B$6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Cloud</c:v>
          </c:tx>
          <c:marker>
            <c:symbol val="none"/>
          </c:marker>
          <c:cat>
            <c:numRef>
              <c:f>Incremental!$A$2:$A$6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</c:numCache>
            </c:numRef>
          </c:cat>
          <c:val>
            <c:numRef>
              <c:f>Incremental!$C$2:$C$6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v>Híbrido</c:v>
          </c:tx>
          <c:marker>
            <c:symbol val="none"/>
          </c:marker>
          <c:cat>
            <c:numRef>
              <c:f>Incremental!$A$2:$A$6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</c:numCache>
            </c:numRef>
          </c:cat>
          <c:val>
            <c:numRef>
              <c:f>Incremental!$D$2:$D$6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Displays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Custo (USD/mês)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10</v>
      </c>
    </row>
    <row r="3" spans="1:2">
      <c r="A3" s="2" t="s">
        <v>3</v>
      </c>
      <c r="B3" s="3">
        <v>5.6</v>
      </c>
    </row>
    <row r="4" spans="1:2">
      <c r="A4" s="2" t="s">
        <v>4</v>
      </c>
      <c r="B4" s="3">
        <v>30</v>
      </c>
    </row>
    <row r="5" spans="1:2">
      <c r="A5" s="2" t="s">
        <v>5</v>
      </c>
      <c r="B5" s="4">
        <v>0.6</v>
      </c>
    </row>
    <row r="6" spans="1:2">
      <c r="A6" s="2" t="s">
        <v>6</v>
      </c>
      <c r="B6" s="3">
        <v>150</v>
      </c>
    </row>
    <row r="7" spans="1:2">
      <c r="A7" s="2" t="s">
        <v>7</v>
      </c>
      <c r="B7" s="3">
        <v>10000</v>
      </c>
    </row>
    <row r="8" spans="1:2">
      <c r="A8" s="2" t="s">
        <v>8</v>
      </c>
      <c r="B8" s="3">
        <v>40</v>
      </c>
    </row>
    <row r="9" spans="1:2">
      <c r="A9" s="2" t="s">
        <v>9</v>
      </c>
      <c r="B9" s="3">
        <v>5</v>
      </c>
    </row>
    <row r="10" spans="1:2">
      <c r="A10" s="2" t="s">
        <v>10</v>
      </c>
      <c r="B10" s="3">
        <v>0.12</v>
      </c>
    </row>
    <row r="11" spans="1:2">
      <c r="A11" s="2" t="s">
        <v>11</v>
      </c>
      <c r="B11" s="3">
        <v>10</v>
      </c>
    </row>
    <row r="12" spans="1:2">
      <c r="A12" s="2" t="s">
        <v>12</v>
      </c>
      <c r="B12" s="3">
        <v>0.05</v>
      </c>
    </row>
    <row r="13" spans="1:2">
      <c r="A13" s="2" t="s">
        <v>13</v>
      </c>
      <c r="B13" s="3">
        <v>2</v>
      </c>
    </row>
    <row r="14" spans="1:2">
      <c r="A14" s="2" t="s">
        <v>14</v>
      </c>
      <c r="B14" s="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1" width="40.7109375" customWidth="1"/>
    <col min="2" max="3" width="20.7109375" customWidth="1"/>
  </cols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t="s">
        <v>19</v>
      </c>
      <c r="B2" s="5">
        <f>Inputs!$B$6</f>
        <v>0</v>
      </c>
      <c r="C2" s="5">
        <v>0</v>
      </c>
      <c r="D2" s="5">
        <f>Inputs!$B$6/2</f>
        <v>0</v>
      </c>
    </row>
    <row r="3" spans="1:4">
      <c r="A3" t="s">
        <v>20</v>
      </c>
      <c r="B3" s="5">
        <f>0</f>
        <v>0</v>
      </c>
      <c r="C3" s="5">
        <f>(Inputs!$B$7/10000)*Inputs!$B$8</f>
        <v>0</v>
      </c>
      <c r="D3" s="5">
        <f>(Inputs!$B$7/10000)*Inputs!$B$8/2</f>
        <v>0</v>
      </c>
    </row>
    <row r="4" spans="1:4">
      <c r="A4" t="s">
        <v>21</v>
      </c>
      <c r="B4" s="5">
        <f>Inputs!$B$9*Inputs!$B$10</f>
        <v>0</v>
      </c>
      <c r="C4" s="5">
        <f>Inputs!$B$9*Inputs!$B$10</f>
        <v>0</v>
      </c>
      <c r="D4" s="5">
        <f>Inputs!$B$9*Inputs!$B$10/2</f>
        <v>0</v>
      </c>
    </row>
    <row r="5" spans="1:4">
      <c r="A5" t="s">
        <v>22</v>
      </c>
      <c r="B5" s="5">
        <f>Inputs!$B$11*Inputs!$B$12</f>
        <v>0</v>
      </c>
      <c r="C5" s="5">
        <f>Inputs!$B$11*Inputs!$B$12</f>
        <v>0</v>
      </c>
      <c r="D5" s="5">
        <f>Inputs!$B$11*Inputs!$B$12/2</f>
        <v>0</v>
      </c>
    </row>
    <row r="6" spans="1:4">
      <c r="A6" t="s">
        <v>23</v>
      </c>
      <c r="B6" s="5">
        <f>Inputs!$B$13</f>
        <v>0</v>
      </c>
      <c r="C6" s="5">
        <f>Inputs!$B$13</f>
        <v>0</v>
      </c>
      <c r="D6" s="5">
        <f>Inputs!$B$13</f>
        <v>0</v>
      </c>
    </row>
    <row r="7" spans="1:4">
      <c r="A7" t="s">
        <v>24</v>
      </c>
      <c r="B7" s="5">
        <f>Inputs!$B$14</f>
        <v>0</v>
      </c>
      <c r="C7" s="5">
        <f>Inputs!$B$14</f>
        <v>0</v>
      </c>
      <c r="D7" s="5">
        <f>Inputs!$B$14</f>
        <v>0</v>
      </c>
    </row>
    <row r="8" spans="1:4">
      <c r="A8" t="s">
        <v>25</v>
      </c>
      <c r="B8" s="5">
        <f>SUM(B2:B7)</f>
        <v>0</v>
      </c>
      <c r="C8" s="5">
        <f>SUM(C2:C7)</f>
        <v>0</v>
      </c>
      <c r="D8" s="5">
        <f>SUM(D2:D7)</f>
        <v>0</v>
      </c>
    </row>
    <row r="9" spans="1:4">
      <c r="A9" t="s">
        <v>26</v>
      </c>
      <c r="B9" s="5">
        <f>B8*Inputs!$B$2</f>
        <v>0</v>
      </c>
      <c r="C9" s="5">
        <f>C8*Inputs!$B$2</f>
        <v>0</v>
      </c>
      <c r="D9" s="5">
        <f>D8*Inputs!$B$2</f>
        <v>0</v>
      </c>
    </row>
    <row r="11" spans="1:4">
      <c r="A11" t="s">
        <v>27</v>
      </c>
    </row>
    <row r="12" spans="1:4">
      <c r="A12" s="2" t="s">
        <v>28</v>
      </c>
      <c r="B12" s="6">
        <f>Inputs!$B$3</f>
        <v>0</v>
      </c>
    </row>
    <row r="13" spans="1:4">
      <c r="A13" s="2" t="s">
        <v>29</v>
      </c>
      <c r="B13" s="7">
        <f>D9*B12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5.7109375" customWidth="1"/>
    <col min="2" max="4" width="20.7109375" customWidth="1"/>
  </cols>
  <sheetData>
    <row r="1" spans="1:4">
      <c r="A1" s="1" t="s">
        <v>30</v>
      </c>
      <c r="B1" s="1" t="s">
        <v>31</v>
      </c>
      <c r="C1" s="1" t="s">
        <v>32</v>
      </c>
      <c r="D1" s="1" t="s">
        <v>33</v>
      </c>
    </row>
    <row r="2" spans="1:4">
      <c r="A2" s="8">
        <v>1</v>
      </c>
      <c r="B2" s="5">
        <f>Resultados!$B$8*1</f>
        <v>0</v>
      </c>
      <c r="C2" s="5">
        <f>Resultados!$C$8*1</f>
        <v>0</v>
      </c>
      <c r="D2" s="5">
        <f>Resultados!$D$8*1</f>
        <v>0</v>
      </c>
    </row>
    <row r="3" spans="1:4">
      <c r="A3" s="8">
        <v>5</v>
      </c>
      <c r="B3" s="5">
        <f>Resultados!$B$8*5</f>
        <v>0</v>
      </c>
      <c r="C3" s="5">
        <f>Resultados!$C$8*5</f>
        <v>0</v>
      </c>
      <c r="D3" s="5">
        <f>Resultados!$D$8*5</f>
        <v>0</v>
      </c>
    </row>
    <row r="4" spans="1:4">
      <c r="A4" s="8">
        <v>10</v>
      </c>
      <c r="B4" s="5">
        <f>Resultados!$B$8*10</f>
        <v>0</v>
      </c>
      <c r="C4" s="5">
        <f>Resultados!$C$8*10</f>
        <v>0</v>
      </c>
      <c r="D4" s="5">
        <f>Resultados!$D$8*10</f>
        <v>0</v>
      </c>
    </row>
    <row r="5" spans="1:4">
      <c r="A5" s="8">
        <v>25</v>
      </c>
      <c r="B5" s="5">
        <f>Resultados!$B$8*25</f>
        <v>0</v>
      </c>
      <c r="C5" s="5">
        <f>Resultados!$C$8*25</f>
        <v>0</v>
      </c>
      <c r="D5" s="5">
        <f>Resultados!$D$8*25</f>
        <v>0</v>
      </c>
    </row>
    <row r="6" spans="1:4">
      <c r="A6" s="8">
        <v>50</v>
      </c>
      <c r="B6" s="5">
        <f>Resultados!$B$8*50</f>
        <v>0</v>
      </c>
      <c r="C6" s="5">
        <f>Resultados!$C$8*50</f>
        <v>0</v>
      </c>
      <c r="D6" s="5">
        <f>Resultados!$D$8*50</f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cols>
    <col min="1" max="1" width="10.7109375" customWidth="1"/>
    <col min="2" max="6" width="20.7109375" customWidth="1"/>
  </cols>
  <sheetData>
    <row r="1" spans="1:6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>
      <c r="A2" s="8">
        <v>1</v>
      </c>
      <c r="B2" s="5">
        <f>Inputs!$B$2*Inputs!$B$4</f>
        <v>0</v>
      </c>
      <c r="C2" s="5">
        <f>B2*Inputs!$B$5</f>
        <v>0</v>
      </c>
      <c r="D2" s="5">
        <f>Resultados!$D$9</f>
        <v>0</v>
      </c>
      <c r="E2" s="5">
        <f>C2-D2</f>
        <v>0</v>
      </c>
      <c r="F2" s="5">
        <f>E2-Inputs!$B$2*Inputs!$B$6</f>
        <v>0</v>
      </c>
    </row>
    <row r="3" spans="1:6">
      <c r="A3" s="8">
        <v>2</v>
      </c>
      <c r="B3" s="5">
        <f>Inputs!$B$2*Inputs!$B$4</f>
        <v>0</v>
      </c>
      <c r="C3" s="5">
        <f>B3*Inputs!$B$5</f>
        <v>0</v>
      </c>
      <c r="D3" s="5">
        <f>Resultados!$D$9</f>
        <v>0</v>
      </c>
      <c r="E3" s="5">
        <f>C3-D3</f>
        <v>0</v>
      </c>
      <c r="F3" s="5">
        <f>F2+E3</f>
        <v>0</v>
      </c>
    </row>
    <row r="4" spans="1:6">
      <c r="A4" s="8">
        <v>3</v>
      </c>
      <c r="B4" s="5">
        <f>Inputs!$B$2*Inputs!$B$4</f>
        <v>0</v>
      </c>
      <c r="C4" s="5">
        <f>B4*Inputs!$B$5</f>
        <v>0</v>
      </c>
      <c r="D4" s="5">
        <f>Resultados!$D$9</f>
        <v>0</v>
      </c>
      <c r="E4" s="5">
        <f>C4-D4</f>
        <v>0</v>
      </c>
      <c r="F4" s="5">
        <f>F3+E4</f>
        <v>0</v>
      </c>
    </row>
    <row r="5" spans="1:6">
      <c r="A5" s="8">
        <v>4</v>
      </c>
      <c r="B5" s="5">
        <f>Inputs!$B$2*Inputs!$B$4</f>
        <v>0</v>
      </c>
      <c r="C5" s="5">
        <f>B5*Inputs!$B$5</f>
        <v>0</v>
      </c>
      <c r="D5" s="5">
        <f>Resultados!$D$9</f>
        <v>0</v>
      </c>
      <c r="E5" s="5">
        <f>C5-D5</f>
        <v>0</v>
      </c>
      <c r="F5" s="5">
        <f>F4+E5</f>
        <v>0</v>
      </c>
    </row>
    <row r="6" spans="1:6">
      <c r="A6" s="8">
        <v>5</v>
      </c>
      <c r="B6" s="5">
        <f>Inputs!$B$2*Inputs!$B$4</f>
        <v>0</v>
      </c>
      <c r="C6" s="5">
        <f>B6*Inputs!$B$5</f>
        <v>0</v>
      </c>
      <c r="D6" s="5">
        <f>Resultados!$D$9</f>
        <v>0</v>
      </c>
      <c r="E6" s="5">
        <f>C6-D6</f>
        <v>0</v>
      </c>
      <c r="F6" s="5">
        <f>F5+E6</f>
        <v>0</v>
      </c>
    </row>
    <row r="7" spans="1:6">
      <c r="A7" s="8">
        <v>6</v>
      </c>
      <c r="B7" s="5">
        <f>Inputs!$B$2*Inputs!$B$4</f>
        <v>0</v>
      </c>
      <c r="C7" s="5">
        <f>B7*Inputs!$B$5</f>
        <v>0</v>
      </c>
      <c r="D7" s="5">
        <f>Resultados!$D$9</f>
        <v>0</v>
      </c>
      <c r="E7" s="5">
        <f>C7-D7</f>
        <v>0</v>
      </c>
      <c r="F7" s="5">
        <f>F6+E7</f>
        <v>0</v>
      </c>
    </row>
    <row r="8" spans="1:6">
      <c r="A8" s="8">
        <v>7</v>
      </c>
      <c r="B8" s="5">
        <f>Inputs!$B$2*Inputs!$B$4</f>
        <v>0</v>
      </c>
      <c r="C8" s="5">
        <f>B8*Inputs!$B$5</f>
        <v>0</v>
      </c>
      <c r="D8" s="5">
        <f>Resultados!$D$9</f>
        <v>0</v>
      </c>
      <c r="E8" s="5">
        <f>C8-D8</f>
        <v>0</v>
      </c>
      <c r="F8" s="5">
        <f>F7+E8</f>
        <v>0</v>
      </c>
    </row>
    <row r="9" spans="1:6">
      <c r="A9" s="8">
        <v>8</v>
      </c>
      <c r="B9" s="5">
        <f>Inputs!$B$2*Inputs!$B$4</f>
        <v>0</v>
      </c>
      <c r="C9" s="5">
        <f>B9*Inputs!$B$5</f>
        <v>0</v>
      </c>
      <c r="D9" s="5">
        <f>Resultados!$D$9</f>
        <v>0</v>
      </c>
      <c r="E9" s="5">
        <f>C9-D9</f>
        <v>0</v>
      </c>
      <c r="F9" s="5">
        <f>F8+E9</f>
        <v>0</v>
      </c>
    </row>
    <row r="10" spans="1:6">
      <c r="A10" s="8">
        <v>9</v>
      </c>
      <c r="B10" s="5">
        <f>Inputs!$B$2*Inputs!$B$4</f>
        <v>0</v>
      </c>
      <c r="C10" s="5">
        <f>B10*Inputs!$B$5</f>
        <v>0</v>
      </c>
      <c r="D10" s="5">
        <f>Resultados!$D$9</f>
        <v>0</v>
      </c>
      <c r="E10" s="5">
        <f>C10-D10</f>
        <v>0</v>
      </c>
      <c r="F10" s="5">
        <f>F9+E10</f>
        <v>0</v>
      </c>
    </row>
    <row r="11" spans="1:6">
      <c r="A11" s="8">
        <v>10</v>
      </c>
      <c r="B11" s="5">
        <f>Inputs!$B$2*Inputs!$B$4</f>
        <v>0</v>
      </c>
      <c r="C11" s="5">
        <f>B11*Inputs!$B$5</f>
        <v>0</v>
      </c>
      <c r="D11" s="5">
        <f>Resultados!$D$9</f>
        <v>0</v>
      </c>
      <c r="E11" s="5">
        <f>C11-D11</f>
        <v>0</v>
      </c>
      <c r="F11" s="5">
        <f>F10+E11</f>
        <v>0</v>
      </c>
    </row>
    <row r="12" spans="1:6">
      <c r="A12" s="8">
        <v>11</v>
      </c>
      <c r="B12" s="5">
        <f>Inputs!$B$2*Inputs!$B$4</f>
        <v>0</v>
      </c>
      <c r="C12" s="5">
        <f>B12*Inputs!$B$5</f>
        <v>0</v>
      </c>
      <c r="D12" s="5">
        <f>Resultados!$D$9</f>
        <v>0</v>
      </c>
      <c r="E12" s="5">
        <f>C12-D12</f>
        <v>0</v>
      </c>
      <c r="F12" s="5">
        <f>F11+E12</f>
        <v>0</v>
      </c>
    </row>
    <row r="13" spans="1:6">
      <c r="A13" s="8">
        <v>12</v>
      </c>
      <c r="B13" s="5">
        <f>Inputs!$B$2*Inputs!$B$4</f>
        <v>0</v>
      </c>
      <c r="C13" s="5">
        <f>B13*Inputs!$B$5</f>
        <v>0</v>
      </c>
      <c r="D13" s="5">
        <f>Resultados!$D$9</f>
        <v>0</v>
      </c>
      <c r="E13" s="5">
        <f>C13-D13</f>
        <v>0</v>
      </c>
      <c r="F13" s="5">
        <f>F12+E13</f>
        <v>0</v>
      </c>
    </row>
    <row r="14" spans="1:6">
      <c r="A14" s="8">
        <v>13</v>
      </c>
      <c r="B14" s="5">
        <f>Inputs!$B$2*Inputs!$B$4</f>
        <v>0</v>
      </c>
      <c r="C14" s="5">
        <f>B14*Inputs!$B$5</f>
        <v>0</v>
      </c>
      <c r="D14" s="5">
        <f>Resultados!$D$9</f>
        <v>0</v>
      </c>
      <c r="E14" s="5">
        <f>C14-D14</f>
        <v>0</v>
      </c>
      <c r="F14" s="5">
        <f>F13+E14</f>
        <v>0</v>
      </c>
    </row>
    <row r="15" spans="1:6">
      <c r="A15" s="8">
        <v>14</v>
      </c>
      <c r="B15" s="5">
        <f>Inputs!$B$2*Inputs!$B$4</f>
        <v>0</v>
      </c>
      <c r="C15" s="5">
        <f>B15*Inputs!$B$5</f>
        <v>0</v>
      </c>
      <c r="D15" s="5">
        <f>Resultados!$D$9</f>
        <v>0</v>
      </c>
      <c r="E15" s="5">
        <f>C15-D15</f>
        <v>0</v>
      </c>
      <c r="F15" s="5">
        <f>F14+E15</f>
        <v>0</v>
      </c>
    </row>
    <row r="16" spans="1:6">
      <c r="A16" s="8">
        <v>15</v>
      </c>
      <c r="B16" s="5">
        <f>Inputs!$B$2*Inputs!$B$4</f>
        <v>0</v>
      </c>
      <c r="C16" s="5">
        <f>B16*Inputs!$B$5</f>
        <v>0</v>
      </c>
      <c r="D16" s="5">
        <f>Resultados!$D$9</f>
        <v>0</v>
      </c>
      <c r="E16" s="5">
        <f>C16-D16</f>
        <v>0</v>
      </c>
      <c r="F16" s="5">
        <f>F15+E16</f>
        <v>0</v>
      </c>
    </row>
    <row r="17" spans="1:6">
      <c r="A17" s="8">
        <v>16</v>
      </c>
      <c r="B17" s="5">
        <f>Inputs!$B$2*Inputs!$B$4</f>
        <v>0</v>
      </c>
      <c r="C17" s="5">
        <f>B17*Inputs!$B$5</f>
        <v>0</v>
      </c>
      <c r="D17" s="5">
        <f>Resultados!$D$9</f>
        <v>0</v>
      </c>
      <c r="E17" s="5">
        <f>C17-D17</f>
        <v>0</v>
      </c>
      <c r="F17" s="5">
        <f>F16+E17</f>
        <v>0</v>
      </c>
    </row>
    <row r="18" spans="1:6">
      <c r="A18" s="8">
        <v>17</v>
      </c>
      <c r="B18" s="5">
        <f>Inputs!$B$2*Inputs!$B$4</f>
        <v>0</v>
      </c>
      <c r="C18" s="5">
        <f>B18*Inputs!$B$5</f>
        <v>0</v>
      </c>
      <c r="D18" s="5">
        <f>Resultados!$D$9</f>
        <v>0</v>
      </c>
      <c r="E18" s="5">
        <f>C18-D18</f>
        <v>0</v>
      </c>
      <c r="F18" s="5">
        <f>F17+E18</f>
        <v>0</v>
      </c>
    </row>
    <row r="19" spans="1:6">
      <c r="A19" s="8">
        <v>18</v>
      </c>
      <c r="B19" s="5">
        <f>Inputs!$B$2*Inputs!$B$4</f>
        <v>0</v>
      </c>
      <c r="C19" s="5">
        <f>B19*Inputs!$B$5</f>
        <v>0</v>
      </c>
      <c r="D19" s="5">
        <f>Resultados!$D$9</f>
        <v>0</v>
      </c>
      <c r="E19" s="5">
        <f>C19-D19</f>
        <v>0</v>
      </c>
      <c r="F19" s="5">
        <f>F18+E19</f>
        <v>0</v>
      </c>
    </row>
    <row r="20" spans="1:6">
      <c r="A20" s="8">
        <v>19</v>
      </c>
      <c r="B20" s="5">
        <f>Inputs!$B$2*Inputs!$B$4</f>
        <v>0</v>
      </c>
      <c r="C20" s="5">
        <f>B20*Inputs!$B$5</f>
        <v>0</v>
      </c>
      <c r="D20" s="5">
        <f>Resultados!$D$9</f>
        <v>0</v>
      </c>
      <c r="E20" s="5">
        <f>C20-D20</f>
        <v>0</v>
      </c>
      <c r="F20" s="5">
        <f>F19+E20</f>
        <v>0</v>
      </c>
    </row>
    <row r="21" spans="1:6">
      <c r="A21" s="8">
        <v>20</v>
      </c>
      <c r="B21" s="5">
        <f>Inputs!$B$2*Inputs!$B$4</f>
        <v>0</v>
      </c>
      <c r="C21" s="5">
        <f>B21*Inputs!$B$5</f>
        <v>0</v>
      </c>
      <c r="D21" s="5">
        <f>Resultados!$D$9</f>
        <v>0</v>
      </c>
      <c r="E21" s="5">
        <f>C21-D21</f>
        <v>0</v>
      </c>
      <c r="F21" s="5">
        <f>F20+E21</f>
        <v>0</v>
      </c>
    </row>
    <row r="22" spans="1:6">
      <c r="A22" s="8">
        <v>21</v>
      </c>
      <c r="B22" s="5">
        <f>Inputs!$B$2*Inputs!$B$4</f>
        <v>0</v>
      </c>
      <c r="C22" s="5">
        <f>B22*Inputs!$B$5</f>
        <v>0</v>
      </c>
      <c r="D22" s="5">
        <f>Resultados!$D$9</f>
        <v>0</v>
      </c>
      <c r="E22" s="5">
        <f>C22-D22</f>
        <v>0</v>
      </c>
      <c r="F22" s="5">
        <f>F21+E22</f>
        <v>0</v>
      </c>
    </row>
    <row r="23" spans="1:6">
      <c r="A23" s="8">
        <v>22</v>
      </c>
      <c r="B23" s="5">
        <f>Inputs!$B$2*Inputs!$B$4</f>
        <v>0</v>
      </c>
      <c r="C23" s="5">
        <f>B23*Inputs!$B$5</f>
        <v>0</v>
      </c>
      <c r="D23" s="5">
        <f>Resultados!$D$9</f>
        <v>0</v>
      </c>
      <c r="E23" s="5">
        <f>C23-D23</f>
        <v>0</v>
      </c>
      <c r="F23" s="5">
        <f>F22+E23</f>
        <v>0</v>
      </c>
    </row>
    <row r="24" spans="1:6">
      <c r="A24" s="8">
        <v>23</v>
      </c>
      <c r="B24" s="5">
        <f>Inputs!$B$2*Inputs!$B$4</f>
        <v>0</v>
      </c>
      <c r="C24" s="5">
        <f>B24*Inputs!$B$5</f>
        <v>0</v>
      </c>
      <c r="D24" s="5">
        <f>Resultados!$D$9</f>
        <v>0</v>
      </c>
      <c r="E24" s="5">
        <f>C24-D24</f>
        <v>0</v>
      </c>
      <c r="F24" s="5">
        <f>F23+E24</f>
        <v>0</v>
      </c>
    </row>
    <row r="25" spans="1:6">
      <c r="A25" s="8">
        <v>24</v>
      </c>
      <c r="B25" s="5">
        <f>Inputs!$B$2*Inputs!$B$4</f>
        <v>0</v>
      </c>
      <c r="C25" s="5">
        <f>B25*Inputs!$B$5</f>
        <v>0</v>
      </c>
      <c r="D25" s="5">
        <f>Resultados!$D$9</f>
        <v>0</v>
      </c>
      <c r="E25" s="5">
        <f>C25-D25</f>
        <v>0</v>
      </c>
      <c r="F25" s="5">
        <f>F24+E25</f>
        <v>0</v>
      </c>
    </row>
    <row r="26" spans="1:6">
      <c r="A26" s="8">
        <v>25</v>
      </c>
      <c r="B26" s="5">
        <f>Inputs!$B$2*Inputs!$B$4</f>
        <v>0</v>
      </c>
      <c r="C26" s="5">
        <f>B26*Inputs!$B$5</f>
        <v>0</v>
      </c>
      <c r="D26" s="5">
        <f>Resultados!$D$9</f>
        <v>0</v>
      </c>
      <c r="E26" s="5">
        <f>C26-D26</f>
        <v>0</v>
      </c>
      <c r="F26" s="5">
        <f>F25+E26</f>
        <v>0</v>
      </c>
    </row>
    <row r="27" spans="1:6">
      <c r="A27" s="8">
        <v>26</v>
      </c>
      <c r="B27" s="5">
        <f>Inputs!$B$2*Inputs!$B$4</f>
        <v>0</v>
      </c>
      <c r="C27" s="5">
        <f>B27*Inputs!$B$5</f>
        <v>0</v>
      </c>
      <c r="D27" s="5">
        <f>Resultados!$D$9</f>
        <v>0</v>
      </c>
      <c r="E27" s="5">
        <f>C27-D27</f>
        <v>0</v>
      </c>
      <c r="F27" s="5">
        <f>F26+E27</f>
        <v>0</v>
      </c>
    </row>
    <row r="28" spans="1:6">
      <c r="A28" s="8">
        <v>27</v>
      </c>
      <c r="B28" s="5">
        <f>Inputs!$B$2*Inputs!$B$4</f>
        <v>0</v>
      </c>
      <c r="C28" s="5">
        <f>B28*Inputs!$B$5</f>
        <v>0</v>
      </c>
      <c r="D28" s="5">
        <f>Resultados!$D$9</f>
        <v>0</v>
      </c>
      <c r="E28" s="5">
        <f>C28-D28</f>
        <v>0</v>
      </c>
      <c r="F28" s="5">
        <f>F27+E28</f>
        <v>0</v>
      </c>
    </row>
    <row r="29" spans="1:6">
      <c r="A29" s="8">
        <v>28</v>
      </c>
      <c r="B29" s="5">
        <f>Inputs!$B$2*Inputs!$B$4</f>
        <v>0</v>
      </c>
      <c r="C29" s="5">
        <f>B29*Inputs!$B$5</f>
        <v>0</v>
      </c>
      <c r="D29" s="5">
        <f>Resultados!$D$9</f>
        <v>0</v>
      </c>
      <c r="E29" s="5">
        <f>C29-D29</f>
        <v>0</v>
      </c>
      <c r="F29" s="5">
        <f>F28+E29</f>
        <v>0</v>
      </c>
    </row>
    <row r="30" spans="1:6">
      <c r="A30" s="8">
        <v>29</v>
      </c>
      <c r="B30" s="5">
        <f>Inputs!$B$2*Inputs!$B$4</f>
        <v>0</v>
      </c>
      <c r="C30" s="5">
        <f>B30*Inputs!$B$5</f>
        <v>0</v>
      </c>
      <c r="D30" s="5">
        <f>Resultados!$D$9</f>
        <v>0</v>
      </c>
      <c r="E30" s="5">
        <f>C30-D30</f>
        <v>0</v>
      </c>
      <c r="F30" s="5">
        <f>F29+E30</f>
        <v>0</v>
      </c>
    </row>
    <row r="31" spans="1:6">
      <c r="A31" s="8">
        <v>30</v>
      </c>
      <c r="B31" s="5">
        <f>Inputs!$B$2*Inputs!$B$4</f>
        <v>0</v>
      </c>
      <c r="C31" s="5">
        <f>B31*Inputs!$B$5</f>
        <v>0</v>
      </c>
      <c r="D31" s="5">
        <f>Resultados!$D$9</f>
        <v>0</v>
      </c>
      <c r="E31" s="5">
        <f>C31-D31</f>
        <v>0</v>
      </c>
      <c r="F31" s="5">
        <f>F30+E31</f>
        <v>0</v>
      </c>
    </row>
    <row r="32" spans="1:6">
      <c r="A32" s="8">
        <v>31</v>
      </c>
      <c r="B32" s="5">
        <f>Inputs!$B$2*Inputs!$B$4</f>
        <v>0</v>
      </c>
      <c r="C32" s="5">
        <f>B32*Inputs!$B$5</f>
        <v>0</v>
      </c>
      <c r="D32" s="5">
        <f>Resultados!$D$9</f>
        <v>0</v>
      </c>
      <c r="E32" s="5">
        <f>C32-D32</f>
        <v>0</v>
      </c>
      <c r="F32" s="5">
        <f>F31+E32</f>
        <v>0</v>
      </c>
    </row>
    <row r="33" spans="1:6">
      <c r="A33" s="8">
        <v>32</v>
      </c>
      <c r="B33" s="5">
        <f>Inputs!$B$2*Inputs!$B$4</f>
        <v>0</v>
      </c>
      <c r="C33" s="5">
        <f>B33*Inputs!$B$5</f>
        <v>0</v>
      </c>
      <c r="D33" s="5">
        <f>Resultados!$D$9</f>
        <v>0</v>
      </c>
      <c r="E33" s="5">
        <f>C33-D33</f>
        <v>0</v>
      </c>
      <c r="F33" s="5">
        <f>F32+E33</f>
        <v>0</v>
      </c>
    </row>
    <row r="34" spans="1:6">
      <c r="A34" s="8">
        <v>33</v>
      </c>
      <c r="B34" s="5">
        <f>Inputs!$B$2*Inputs!$B$4</f>
        <v>0</v>
      </c>
      <c r="C34" s="5">
        <f>B34*Inputs!$B$5</f>
        <v>0</v>
      </c>
      <c r="D34" s="5">
        <f>Resultados!$D$9</f>
        <v>0</v>
      </c>
      <c r="E34" s="5">
        <f>C34-D34</f>
        <v>0</v>
      </c>
      <c r="F34" s="5">
        <f>F33+E34</f>
        <v>0</v>
      </c>
    </row>
    <row r="35" spans="1:6">
      <c r="A35" s="8">
        <v>34</v>
      </c>
      <c r="B35" s="5">
        <f>Inputs!$B$2*Inputs!$B$4</f>
        <v>0</v>
      </c>
      <c r="C35" s="5">
        <f>B35*Inputs!$B$5</f>
        <v>0</v>
      </c>
      <c r="D35" s="5">
        <f>Resultados!$D$9</f>
        <v>0</v>
      </c>
      <c r="E35" s="5">
        <f>C35-D35</f>
        <v>0</v>
      </c>
      <c r="F35" s="5">
        <f>F34+E35</f>
        <v>0</v>
      </c>
    </row>
    <row r="36" spans="1:6">
      <c r="A36" s="8">
        <v>35</v>
      </c>
      <c r="B36" s="5">
        <f>Inputs!$B$2*Inputs!$B$4</f>
        <v>0</v>
      </c>
      <c r="C36" s="5">
        <f>B36*Inputs!$B$5</f>
        <v>0</v>
      </c>
      <c r="D36" s="5">
        <f>Resultados!$D$9</f>
        <v>0</v>
      </c>
      <c r="E36" s="5">
        <f>C36-D36</f>
        <v>0</v>
      </c>
      <c r="F36" s="5">
        <f>F35+E36</f>
        <v>0</v>
      </c>
    </row>
    <row r="37" spans="1:6">
      <c r="A37" s="8">
        <v>36</v>
      </c>
      <c r="B37" s="5">
        <f>Inputs!$B$2*Inputs!$B$4</f>
        <v>0</v>
      </c>
      <c r="C37" s="5">
        <f>B37*Inputs!$B$5</f>
        <v>0</v>
      </c>
      <c r="D37" s="5">
        <f>Resultados!$D$9</f>
        <v>0</v>
      </c>
      <c r="E37" s="5">
        <f>C37-D37</f>
        <v>0</v>
      </c>
      <c r="F37" s="5">
        <f>F36+E37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4" width="30.7109375" customWidth="1"/>
  </cols>
  <sheetData>
    <row r="1" spans="1:4">
      <c r="A1" s="1" t="s">
        <v>40</v>
      </c>
      <c r="B1" s="1" t="s">
        <v>41</v>
      </c>
      <c r="C1" s="1" t="s">
        <v>42</v>
      </c>
      <c r="D1" s="1" t="s">
        <v>43</v>
      </c>
    </row>
    <row r="2" spans="1:4">
      <c r="A2" t="s">
        <v>44</v>
      </c>
      <c r="B2" t="s">
        <v>45</v>
      </c>
      <c r="C2" t="s">
        <v>46</v>
      </c>
      <c r="D2" t="s">
        <v>47</v>
      </c>
    </row>
    <row r="3" spans="1:4">
      <c r="A3" t="s">
        <v>48</v>
      </c>
      <c r="B3" t="s">
        <v>46</v>
      </c>
      <c r="C3" t="s">
        <v>49</v>
      </c>
      <c r="D3" t="s">
        <v>50</v>
      </c>
    </row>
    <row r="4" spans="1:4">
      <c r="A4" t="s">
        <v>51</v>
      </c>
      <c r="B4" t="s">
        <v>52</v>
      </c>
      <c r="C4" t="s">
        <v>53</v>
      </c>
      <c r="D4" t="s">
        <v>54</v>
      </c>
    </row>
    <row r="5" spans="1:4">
      <c r="A5" t="s">
        <v>55</v>
      </c>
      <c r="B5" t="s">
        <v>56</v>
      </c>
      <c r="C5" t="s">
        <v>57</v>
      </c>
      <c r="D5" t="s">
        <v>58</v>
      </c>
    </row>
    <row r="6" spans="1:4">
      <c r="A6" t="s">
        <v>59</v>
      </c>
      <c r="B6" t="s">
        <v>53</v>
      </c>
      <c r="C6" t="s">
        <v>52</v>
      </c>
      <c r="D6" t="s">
        <v>60</v>
      </c>
    </row>
    <row r="7" spans="1:4">
      <c r="A7" t="s">
        <v>61</v>
      </c>
      <c r="B7" t="s">
        <v>62</v>
      </c>
      <c r="C7" t="s">
        <v>63</v>
      </c>
      <c r="D7" t="s">
        <v>64</v>
      </c>
    </row>
    <row r="8" spans="1:4">
      <c r="A8" t="s">
        <v>65</v>
      </c>
      <c r="B8" t="s">
        <v>66</v>
      </c>
      <c r="C8" t="s">
        <v>67</v>
      </c>
      <c r="D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Resultados</vt:lpstr>
      <vt:lpstr>Incremental</vt:lpstr>
      <vt:lpstr>ROI</vt:lpstr>
      <vt:lpstr>Build_vs_Buy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2025-11-06T22:47:42Z</dcterms:created>
  <dcterms:modified xsi:type="dcterms:W3CDTF">2025-11-06T22:47:42Z</dcterms:modified>
</cp:coreProperties>
</file>